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Competitors" sheetId="2" state="visible" r:id="rId2"/>
    <sheet name="Outliers" sheetId="3" state="visible" r:id="rId3"/>
    <sheet name="Topics" sheetId="4" state="visible" r:id="rId4"/>
    <sheet name="Talmud 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sz val="10"/>
    </font>
    <font>
      <b val="1"/>
      <color rgb="001F3864"/>
      <sz val="11"/>
    </font>
    <font>
      <name val="Consolas"/>
      <color rgb="00595959"/>
      <sz val="10"/>
    </font>
    <font>
      <b val="1"/>
      <color rgb="00FFFFFF"/>
      <sz val="10"/>
    </font>
    <font>
      <b val="1"/>
      <sz val="10"/>
    </font>
    <font>
      <i val="1"/>
      <color rgb="00595959"/>
      <sz val="10"/>
    </font>
    <font>
      <name val="Consolas"/>
      <sz val="9"/>
    </font>
    <font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833C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8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" t="inlineStr">
        <is>
          <t>Трекер этапа 1 — англоязычная документалистика о крахе (faceless)</t>
        </is>
      </c>
    </row>
    <row r="2">
      <c r="B2" s="2" t="inlineStr"/>
    </row>
    <row r="3">
      <c r="B3" s="2" t="inlineStr">
        <is>
          <t>Обещание: How one decision broke a company that looked unbreakable.</t>
        </is>
      </c>
    </row>
    <row r="4">
      <c r="B4" s="2" t="inlineStr">
        <is>
          <t>Формула выпуска: одна компания, одно решение, точка невозврата. 12–18 минут, закадровый голос, архив + документы + графика.</t>
        </is>
      </c>
    </row>
    <row r="5">
      <c r="B5" s="2" t="inlineStr">
        <is>
          <t>Талмудический слой — гипотеза, а не позиционирование. Проверяется на 3 выпусках из 10, лист «Talmud test».</t>
        </is>
      </c>
    </row>
    <row r="6">
      <c r="B6" s="2" t="inlineStr"/>
    </row>
    <row r="7">
      <c r="B7" s="3" t="inlineStr">
        <is>
          <t>Порядок работы (~90 минут)</t>
        </is>
      </c>
    </row>
    <row r="8">
      <c r="B8" s="2" t="inlineStr">
        <is>
          <t>1. Лист «Competitors». Прогнать поисковые запросы ниже. Фильтры YouTube: Type → Video, Upload date → This year, Duration → 4–20 minutes.</t>
        </is>
      </c>
    </row>
    <row r="9">
      <c r="B9" s="2" t="inlineStr">
        <is>
          <t>2. Отобрать 10 каналов с 3–100 тыс. подписчиков. Интервью и подкасты не берём. Крупные якоря в зачёт не идут.</t>
        </is>
      </c>
    </row>
    <row r="10">
      <c r="B10" s="2" t="inlineStr">
        <is>
          <t>3. Заполнить: подписчики, три последних ролика, максимум за 90 дней. Столбец Ratio считается сам и подсвечивается зелёным при значении ≥ 1.</t>
        </is>
      </c>
    </row>
    <row r="11">
      <c r="B11" s="2" t="inlineStr">
        <is>
          <t>4. Лист «Outliers» — разобрать 30 роликов, выбившихся из нормы своего канала.</t>
        </is>
      </c>
    </row>
    <row r="12">
      <c r="B12" s="2" t="inlineStr">
        <is>
          <t>5. Лист «Topics» — проверить покрытие десяти стартовых тем в англоязычной выдаче.</t>
        </is>
      </c>
    </row>
    <row r="13">
      <c r="B13" s="2" t="inlineStr"/>
    </row>
    <row r="14">
      <c r="B14" s="3" t="inlineStr">
        <is>
          <t>Критерий подтверждения ниши</t>
        </is>
      </c>
    </row>
    <row r="15">
      <c r="B15" s="2" t="inlineStr">
        <is>
          <t>Одновременно: у 3+ каналов Ratio ≥ 1; это разные каналы, а не один вирусный ролик; все трое публиковались за последние 30 дней.</t>
        </is>
      </c>
    </row>
    <row r="16">
      <c r="B16" s="2" t="inlineStr">
        <is>
          <t>✅ ВЫПОЛНЕНО: Invisible Game (~43, 3 дня назад), Old Money Dynasty (~6,6, 4 дня), Selwen (≥1,7, 1 день). Old Money Lost не засчитан — последний выпуск 28.05.2026.</t>
        </is>
      </c>
    </row>
    <row r="17">
      <c r="B17" s="2" t="inlineStr">
        <is>
          <t>Поиск стоит довести до восьми каналов: каждый даёт материал для листа Outliers. Но это работа этапа 2, а не условие входа.</t>
        </is>
      </c>
    </row>
    <row r="18">
      <c r="B18" s="2" t="inlineStr">
        <is>
          <t>Если критерий не выполняется — проблема в выборке каналов, а не в нише. Расширить запросы и повторить, прежде чем менять решение.</t>
        </is>
      </c>
    </row>
    <row r="19">
      <c r="B19" s="2" t="inlineStr"/>
    </row>
    <row r="20">
      <c r="B20" s="3" t="inlineStr">
        <is>
          <t>Поисковые запросы</t>
        </is>
      </c>
    </row>
    <row r="21">
      <c r="B21" s="4" t="inlineStr">
        <is>
          <t>the collapse of *   ·   the decision that killed *   ·   how * destroyed itself</t>
        </is>
      </c>
    </row>
    <row r="22">
      <c r="B22" s="4" t="inlineStr">
        <is>
          <t>why * disappeared   ·   the rise and fall of *   ·   the forgotten empire of *</t>
        </is>
      </c>
    </row>
    <row r="23">
      <c r="B23" s="2" t="inlineStr"/>
    </row>
    <row r="24">
      <c r="B24" s="3" t="inlineStr">
        <is>
          <t>Критерий отбора тем</t>
        </is>
      </c>
    </row>
    <row r="25">
      <c r="B25" s="2" t="inlineStr">
        <is>
          <t>Максимальный масштаб при минимальном покрытии. Компания должна быть достаточно крупной, чтобы её крах звучал как событие, и достаточно забытой, чтобы про неё не сняли двадцать роликов.</t>
        </is>
      </c>
    </row>
    <row r="26">
      <c r="B26" s="2" t="inlineStr"/>
    </row>
    <row r="27">
      <c r="B27" s="3" t="inlineStr">
        <is>
          <t>Signal — три состояния, а не градация</t>
        </is>
      </c>
    </row>
    <row r="28">
      <c r="B28" s="2" t="inlineStr">
        <is>
          <t>Open — меньше пяти профильных роликов, ни одного выше ~200K; либо тема встречается только фрагментом внутри более широких видео. Целевая зона.</t>
        </is>
      </c>
    </row>
    <row r="29">
      <c r="B29" s="2" t="inlineStr">
        <is>
          <t>Occupied — профильный ролик выше ~500K либо три и больше выше ~200K. Спрос доказан, вход закрыт: Kodak, Nokia, Blockbuster, Enron, Schlitz.</t>
        </is>
      </c>
    </row>
    <row r="30">
      <c r="B30" s="2" t="inlineStr">
        <is>
          <t>Burned — пять и больше роликов за последние 12 месяцев, у лучшего меньше ~30K. Тему протестировали, она не конвертирует: Nortel. Хуже, чем Occupied.</t>
        </is>
      </c>
    </row>
    <row r="31">
      <c r="B31" s="2" t="inlineStr">
        <is>
          <t>Пороги рабочие: калибруются на J.C. Penney → Montgomery Ward → A&amp;P, затем фиксируются и применяются к остальным семи без пересмотра.</t>
        </is>
      </c>
    </row>
    <row r="32">
      <c r="B32" s="2" t="inlineStr"/>
    </row>
    <row r="33">
      <c r="B33" s="3" t="inlineStr">
        <is>
          <t>Profile video — зафиксированное определение</t>
        </is>
      </c>
    </row>
    <row r="34">
      <c r="B34" s="2" t="inlineStr">
        <is>
          <t>Самостоятельный long-form разбор, где компания или решение являются главным обещанием заголовка и обложки И основной темой повествования.</t>
        </is>
      </c>
    </row>
    <row r="35">
      <c r="B35" s="2" t="inlineStr">
        <is>
          <t>Не считаются: Shorts, клипы, подборки, случайные упоминания, примеры внутри более широкой темы. Десять минут внутри ролика «10 худших сделок в истории» профильным разбором не являются — это аргумент за Open, а не против.</t>
        </is>
      </c>
    </row>
    <row r="36">
      <c r="B36" s="2" t="inlineStr"/>
    </row>
    <row r="37">
      <c r="B37" s="3" t="inlineStr">
        <is>
          <t>Порядок прогона Signal</t>
        </is>
      </c>
    </row>
    <row r="38">
      <c r="B38" s="2" t="inlineStr">
        <is>
          <t>1. Калибровка: J.C. Penney → Montgomery Ward → A&amp;P. 2. Фиксация определений и границы Occupied/Burned. 3. Разметка оставшихся семи. 4. Замена отбракованного из резерва. 5. Переход к этапу 2.</t>
        </is>
      </c>
    </row>
    <row r="39">
      <c r="B39" s="2" t="inlineStr">
        <is>
          <t>Ни одна резервная тема не одобрена заранее. Вся скамейка — Xerox PARC, Compaq, Toys R Us, Sears, Polaroid, Woolworth, Wang Laboratories, LTCM, Pan Am, Atari — проходит ту же процедуру. Время на повторные проверки заложено в шаг 4.</t>
        </is>
      </c>
    </row>
    <row r="40">
      <c r="B40" s="2" t="inlineStr">
        <is>
          <t>Этап 1 закрывается только тогда, когда после всех замен остаются десять ПРИНЯТЫХ тем.</t>
        </is>
      </c>
    </row>
    <row r="41">
      <c r="B41" s="2" t="inlineStr"/>
    </row>
    <row r="42">
      <c r="B42" s="3" t="inlineStr">
        <is>
          <t>Производственный стандарт (выведен из ошибок Old Money Lost)</t>
        </is>
      </c>
    </row>
    <row r="43">
      <c r="B43" s="2" t="inlineStr">
        <is>
          <t>12–18 минут вместо часовых фильмов · каждое изображение проверяется на соответствие фразе, под которой стоит · ограниченный набор надёжных визуальных источников · один измеримый момент краха на выпуск.</t>
        </is>
      </c>
    </row>
    <row r="44">
      <c r="B44" s="2" t="inlineStr">
        <is>
          <t>Голос: требование не «звучит естественно», а «держит просодию на 15 минутах». У конкурента критиковали монотонность, а не искусственность. Проверять тремя минутами подряд, не демо-фразой.</t>
        </is>
      </c>
    </row>
    <row r="45">
      <c r="B45" s="2" t="inlineStr">
        <is>
          <t>Наш аналог его визуальной ошибки — обобщённый сток: безымянные люди в костюмах, абстрактные графики, небоскрёбы под текст о конкретном решении.</t>
        </is>
      </c>
    </row>
    <row r="46">
      <c r="B46" s="2" t="inlineStr"/>
    </row>
    <row r="47">
      <c r="B47" s="3" t="inlineStr">
        <is>
          <t>Решения до первого сценария</t>
        </is>
      </c>
    </row>
    <row r="48">
      <c r="B48" s="2" t="inlineStr">
        <is>
          <t>Платёжный профиль под монетизацию (право на выплаты зависит от страны профиля, а не от языка контента) · голос: качественный синтез или наёмный диктор · рассылка как актив вне YouTube.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2" customWidth="1" min="13" max="13"/>
    <col width="18" customWidth="1" min="14" max="14"/>
    <col width="30" customWidth="1" min="15" max="15"/>
    <col width="13" customWidth="1" min="16" max="16"/>
    <col width="32" customWidth="1" min="17" max="17"/>
  </cols>
  <sheetData>
    <row r="1" ht="34" customHeight="1">
      <c r="A1" s="5" t="inlineStr">
        <is>
          <t>Channel</t>
        </is>
      </c>
      <c r="B1" s="5" t="inlineStr">
        <is>
          <t>Link</t>
        </is>
      </c>
      <c r="C1" s="5" t="inlineStr">
        <is>
          <t>Type</t>
        </is>
      </c>
      <c r="D1" s="5" t="inlineStr">
        <is>
          <t>Subscribers</t>
        </is>
      </c>
      <c r="E1" s="5" t="inlineStr">
        <is>
          <t>Video 1 — views</t>
        </is>
      </c>
      <c r="F1" s="5" t="inlineStr">
        <is>
          <t>Video 1 — date</t>
        </is>
      </c>
      <c r="G1" s="5" t="inlineStr">
        <is>
          <t>Video 2 — views</t>
        </is>
      </c>
      <c r="H1" s="5" t="inlineStr">
        <is>
          <t>Video 2 — date</t>
        </is>
      </c>
      <c r="I1" s="5" t="inlineStr">
        <is>
          <t>Video 3 — views</t>
        </is>
      </c>
      <c r="J1" s="5" t="inlineStr">
        <is>
          <t>Video 3 — date</t>
        </is>
      </c>
      <c r="K1" s="5" t="inlineStr">
        <is>
          <t>Max / 90 days</t>
        </is>
      </c>
      <c r="L1" s="5" t="inlineStr">
        <is>
          <t>Ratio</t>
        </is>
      </c>
      <c r="M1" s="5" t="inlineStr">
        <is>
          <t>Duration</t>
        </is>
      </c>
      <c r="N1" s="5" t="inlineStr">
        <is>
          <t>Edit style</t>
        </is>
      </c>
      <c r="O1" s="5" t="inlineStr">
        <is>
          <t>Best topic</t>
        </is>
      </c>
      <c r="P1" s="5" t="inlineStr">
        <is>
          <t>Publishing now</t>
        </is>
      </c>
      <c r="Q1" s="5" t="inlineStr">
        <is>
          <t>Notes</t>
        </is>
      </c>
    </row>
    <row r="2">
      <c r="A2" s="6" t="inlineStr">
        <is>
          <t>The Invisible Game</t>
        </is>
      </c>
      <c r="B2" s="7" t="inlineStr">
        <is>
          <t>youtube.com/@InvisibleGameCo</t>
        </is>
      </c>
      <c r="C2" s="7" t="inlineStr">
        <is>
          <t>proven</t>
        </is>
      </c>
      <c r="D2" s="7" t="n">
        <v>41600</v>
      </c>
      <c r="E2" s="7" t="n"/>
      <c r="F2" s="7" t="n"/>
      <c r="G2" s="7" t="n"/>
      <c r="H2" s="7" t="n"/>
      <c r="I2" s="7" t="n"/>
      <c r="J2" s="7" t="n"/>
      <c r="K2" s="7" t="n">
        <v>1800000</v>
      </c>
      <c r="L2" s="8">
        <f>IF(AND(N(K2)&gt;0,N(D2)&gt;0),K2/D2,"")</f>
        <v/>
      </c>
      <c r="M2" s="7" t="n"/>
      <c r="N2" s="7" t="n"/>
      <c r="O2" s="7" t="n"/>
      <c r="P2" s="7" t="inlineStr">
        <is>
          <t>да</t>
        </is>
      </c>
      <c r="Q2" s="9" t="inlineStr">
        <is>
          <t>Отрасли и системы целиком. Выбросы: консалтинг, Apple, инвестбанкинг, AI, доставка еды</t>
        </is>
      </c>
    </row>
    <row r="3">
      <c r="A3" s="6" t="inlineStr">
        <is>
          <t>Old Money Dynasty</t>
        </is>
      </c>
      <c r="B3" s="7" t="inlineStr">
        <is>
          <t>youtube.com/@OldMoneyDynasty</t>
        </is>
      </c>
      <c r="C3" s="7" t="inlineStr">
        <is>
          <t>proven</t>
        </is>
      </c>
      <c r="D3" s="7" t="n">
        <v>94000</v>
      </c>
      <c r="E3" s="7" t="n"/>
      <c r="F3" s="7" t="n"/>
      <c r="G3" s="7" t="n"/>
      <c r="H3" s="7" t="n"/>
      <c r="I3" s="7" t="n"/>
      <c r="J3" s="7" t="n"/>
      <c r="K3" s="7" t="n">
        <v>616000</v>
      </c>
      <c r="L3" s="8">
        <f>IF(AND(N(K3)&gt;0,N(D3)&gt;0),K3/D3,"")</f>
        <v/>
      </c>
      <c r="M3" s="7" t="n"/>
      <c r="N3" s="7" t="n"/>
      <c r="O3" s="7" t="n"/>
      <c r="P3" s="7" t="inlineStr">
        <is>
          <t>да</t>
        </is>
      </c>
      <c r="Q3" s="9" t="inlineStr">
        <is>
          <t>Династии и Позолоченный век. J.C. Penney 151K и Montgomery Ward 159K — темы из нашей десятки</t>
        </is>
      </c>
    </row>
    <row r="4">
      <c r="A4" s="6" t="inlineStr">
        <is>
          <t>Selwen</t>
        </is>
      </c>
      <c r="B4" s="7" t="inlineStr"/>
      <c r="C4" s="7" t="inlineStr">
        <is>
          <t>proven</t>
        </is>
      </c>
      <c r="D4" s="7" t="n">
        <v>59500</v>
      </c>
      <c r="E4" s="7" t="n"/>
      <c r="F4" s="7" t="n"/>
      <c r="G4" s="7" t="n"/>
      <c r="H4" s="7" t="n"/>
      <c r="I4" s="7" t="n"/>
      <c r="J4" s="7" t="n"/>
      <c r="K4" s="7" t="n">
        <v>100000</v>
      </c>
      <c r="L4" s="8">
        <f>IF(AND(N(K4)&gt;0,N(D4)&gt;0),K4/D4,"")</f>
        <v/>
      </c>
      <c r="M4" s="7" t="n"/>
      <c r="N4" s="7" t="n"/>
      <c r="O4" s="7" t="n"/>
      <c r="P4" s="7" t="inlineStr">
        <is>
          <t>да</t>
        </is>
      </c>
      <c r="Q4" s="9" t="inlineStr">
        <is>
          <t>Публикация 1 день назад. Многочисленные выпуски выше 100K — ratio уточнить по максимуму</t>
        </is>
      </c>
    </row>
    <row r="5">
      <c r="A5" s="10" t="inlineStr">
        <is>
          <t>Old Money Lost</t>
        </is>
      </c>
      <c r="B5" s="11" t="inlineStr"/>
      <c r="C5" s="11" t="inlineStr">
        <is>
          <t>dormant</t>
        </is>
      </c>
      <c r="D5" s="11" t="n">
        <v>20400</v>
      </c>
      <c r="E5" s="11" t="n"/>
      <c r="F5" s="11" t="n"/>
      <c r="G5" s="11" t="n"/>
      <c r="H5" s="11" t="n"/>
      <c r="I5" s="11" t="n"/>
      <c r="J5" s="11" t="n"/>
      <c r="K5" s="11" t="n">
        <v>332000</v>
      </c>
      <c r="L5" s="12">
        <f>IF(AND(N(K5)&gt;0,N(D5)&gt;0),K5/D5,"")</f>
        <v/>
      </c>
      <c r="M5" s="11" t="n"/>
      <c r="N5" s="11" t="n"/>
      <c r="O5" s="11" t="n"/>
      <c r="P5" s="11" t="inlineStr">
        <is>
          <t>нет</t>
        </is>
      </c>
      <c r="Q5" s="13" t="inlineStr">
        <is>
          <t>Ratio ~3,3, выигрывал весь каталог. Последний выпуск 28.05.2026 — в зачёт не идёт. Причина остановки неизвестна. Страйки исключены (ролики на месте), но не Content ID — он забирает доход, а не удаляет. Перегруз и неокупаемость равноправны и связаны. Предмет — поместья и династии: вертикаль ниже нашей по RPM. Расследование закрыто</t>
        </is>
      </c>
    </row>
    <row r="6">
      <c r="A6" s="14" t="inlineStr">
        <is>
          <t>Old Money Documentaries</t>
        </is>
      </c>
      <c r="B6" s="14" t="inlineStr">
        <is>
          <t>youtube.com/@OldMoneyDocumentaries</t>
        </is>
      </c>
      <c r="C6" s="14" t="inlineStr">
        <is>
          <t>anchor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5" t="inlineStr">
        <is>
          <t>Малый канал, ~65 роликов</t>
        </is>
      </c>
    </row>
    <row r="7">
      <c r="A7" s="14" t="inlineStr">
        <is>
          <t>Old Money Empires</t>
        </is>
      </c>
      <c r="B7" s="14" t="inlineStr">
        <is>
          <t>youtube.com/@oldmoneyempires</t>
        </is>
      </c>
      <c r="C7" s="14" t="inlineStr">
        <is>
          <t>anchor</t>
        </is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5" t="inlineStr">
        <is>
          <t>Смежный профиль</t>
        </is>
      </c>
    </row>
    <row r="8">
      <c r="A8" s="14" t="inlineStr">
        <is>
          <t>Company Man</t>
        </is>
      </c>
      <c r="B8" s="14" t="inlineStr">
        <is>
          <t>youtube.com/@CompanyMan</t>
        </is>
      </c>
      <c r="C8" s="14" t="inlineStr">
        <is>
          <t>anchor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5" t="inlineStr">
        <is>
          <t>Крупный якорь формата</t>
        </is>
      </c>
    </row>
    <row r="9">
      <c r="A9" s="14" t="inlineStr">
        <is>
          <t>Modern MBA</t>
        </is>
      </c>
      <c r="B9" s="14" t="inlineStr">
        <is>
          <t>youtube.com/@ModernMBA</t>
        </is>
      </c>
      <c r="C9" s="14" t="inlineStr">
        <is>
          <t>anchor</t>
        </is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5" t="inlineStr">
        <is>
          <t>Крупный якорь, глубокие разборы</t>
        </is>
      </c>
    </row>
    <row r="10">
      <c r="A10" s="14" t="inlineStr">
        <is>
          <t>MagnatesMedia</t>
        </is>
      </c>
      <c r="B10" s="14" t="inlineStr">
        <is>
          <t>youtube.com/@MagnatesMedia</t>
        </is>
      </c>
      <c r="C10" s="14" t="inlineStr">
        <is>
          <t>anchor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5" t="inlineStr">
        <is>
          <t>Крупный якорь, драматургия</t>
        </is>
      </c>
    </row>
    <row r="11">
      <c r="A11" s="14" t="inlineStr">
        <is>
          <t>Business Casual</t>
        </is>
      </c>
      <c r="B11" s="14" t="inlineStr"/>
      <c r="C11" s="14" t="inlineStr">
        <is>
          <t>anchor</t>
        </is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5" t="inlineStr">
        <is>
          <t>Крупный якорь</t>
        </is>
      </c>
    </row>
    <row r="12">
      <c r="A12" s="14" t="inlineStr">
        <is>
          <t>Logically Answered</t>
        </is>
      </c>
      <c r="B12" s="14" t="inlineStr"/>
      <c r="C12" s="14" t="inlineStr">
        <is>
          <t>anchor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5" t="inlineStr">
        <is>
          <t>Крупный якорь</t>
        </is>
      </c>
    </row>
    <row r="13">
      <c r="A13" s="16" t="inlineStr">
        <is>
          <t>candidate 1</t>
        </is>
      </c>
      <c r="B13" s="16" t="n"/>
      <c r="C13" s="16" t="inlineStr">
        <is>
          <t>candidate</t>
        </is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7">
        <f>IF(AND(N(K13)&gt;0,N(D13)&gt;0),K13/D13,"")</f>
        <v/>
      </c>
      <c r="M13" s="16" t="n"/>
      <c r="N13" s="16" t="n"/>
      <c r="O13" s="16" t="n"/>
      <c r="P13" s="16" t="n"/>
      <c r="Q13" s="16" t="n"/>
    </row>
    <row r="14">
      <c r="A14" s="16" t="inlineStr">
        <is>
          <t>candidate 2</t>
        </is>
      </c>
      <c r="B14" s="16" t="n"/>
      <c r="C14" s="16" t="inlineStr">
        <is>
          <t>candidate</t>
        </is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7">
        <f>IF(AND(N(K14)&gt;0,N(D14)&gt;0),K14/D14,"")</f>
        <v/>
      </c>
      <c r="M14" s="16" t="n"/>
      <c r="N14" s="16" t="n"/>
      <c r="O14" s="16" t="n"/>
      <c r="P14" s="16" t="n"/>
      <c r="Q14" s="16" t="n"/>
    </row>
    <row r="15">
      <c r="A15" s="16" t="inlineStr">
        <is>
          <t>candidate 3</t>
        </is>
      </c>
      <c r="B15" s="16" t="n"/>
      <c r="C15" s="16" t="inlineStr">
        <is>
          <t>candidate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>
        <f>IF(AND(N(K15)&gt;0,N(D15)&gt;0),K15/D15,"")</f>
        <v/>
      </c>
      <c r="M15" s="16" t="n"/>
      <c r="N15" s="16" t="n"/>
      <c r="O15" s="16" t="n"/>
      <c r="P15" s="16" t="n"/>
      <c r="Q15" s="16" t="n"/>
    </row>
    <row r="16">
      <c r="A16" s="16" t="inlineStr">
        <is>
          <t>candidate 4</t>
        </is>
      </c>
      <c r="B16" s="16" t="n"/>
      <c r="C16" s="16" t="inlineStr">
        <is>
          <t>candidate</t>
        </is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7">
        <f>IF(AND(N(K16)&gt;0,N(D16)&gt;0),K16/D16,"")</f>
        <v/>
      </c>
      <c r="M16" s="16" t="n"/>
      <c r="N16" s="16" t="n"/>
      <c r="O16" s="16" t="n"/>
      <c r="P16" s="16" t="n"/>
      <c r="Q16" s="16" t="n"/>
    </row>
    <row r="17">
      <c r="A17" s="16" t="inlineStr">
        <is>
          <t>candidate 5</t>
        </is>
      </c>
      <c r="B17" s="16" t="n"/>
      <c r="C17" s="16" t="inlineStr">
        <is>
          <t>candidate</t>
        </is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7">
        <f>IF(AND(N(K17)&gt;0,N(D17)&gt;0),K17/D17,"")</f>
        <v/>
      </c>
      <c r="M17" s="16" t="n"/>
      <c r="N17" s="16" t="n"/>
      <c r="O17" s="16" t="n"/>
      <c r="P17" s="16" t="n"/>
      <c r="Q17" s="16" t="n"/>
    </row>
    <row r="18">
      <c r="A18" s="16" t="inlineStr">
        <is>
          <t>candidate 6</t>
        </is>
      </c>
      <c r="B18" s="16" t="n"/>
      <c r="C18" s="16" t="inlineStr">
        <is>
          <t>candidate</t>
        </is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7">
        <f>IF(AND(N(K18)&gt;0,N(D18)&gt;0),K18/D18,"")</f>
        <v/>
      </c>
      <c r="M18" s="16" t="n"/>
      <c r="N18" s="16" t="n"/>
      <c r="O18" s="16" t="n"/>
      <c r="P18" s="16" t="n"/>
      <c r="Q18" s="16" t="n"/>
    </row>
    <row r="19">
      <c r="A19" s="16" t="inlineStr">
        <is>
          <t>candidate 7</t>
        </is>
      </c>
      <c r="B19" s="16" t="n"/>
      <c r="C19" s="16" t="inlineStr">
        <is>
          <t>candidate</t>
        </is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7">
        <f>IF(AND(N(K19)&gt;0,N(D19)&gt;0),K19/D19,"")</f>
        <v/>
      </c>
      <c r="M19" s="16" t="n"/>
      <c r="N19" s="16" t="n"/>
      <c r="O19" s="16" t="n"/>
      <c r="P19" s="16" t="n"/>
      <c r="Q19" s="16" t="n"/>
    </row>
    <row r="20">
      <c r="A20" s="16" t="inlineStr">
        <is>
          <t>candidate 8</t>
        </is>
      </c>
      <c r="B20" s="16" t="n"/>
      <c r="C20" s="16" t="inlineStr">
        <is>
          <t>candidate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7">
        <f>IF(AND(N(K20)&gt;0,N(D20)&gt;0),K20/D20,"")</f>
        <v/>
      </c>
      <c r="M20" s="16" t="n"/>
      <c r="N20" s="16" t="n"/>
      <c r="O20" s="16" t="n"/>
      <c r="P20" s="16" t="n"/>
      <c r="Q20" s="16" t="n"/>
    </row>
    <row r="21">
      <c r="A21" s="16" t="inlineStr">
        <is>
          <t>candidate 9</t>
        </is>
      </c>
      <c r="B21" s="16" t="n"/>
      <c r="C21" s="16" t="inlineStr">
        <is>
          <t>candidate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7">
        <f>IF(AND(N(K21)&gt;0,N(D21)&gt;0),K21/D21,"")</f>
        <v/>
      </c>
      <c r="M21" s="16" t="n"/>
      <c r="N21" s="16" t="n"/>
      <c r="O21" s="16" t="n"/>
      <c r="P21" s="16" t="n"/>
      <c r="Q21" s="16" t="n"/>
    </row>
    <row r="22">
      <c r="A22" s="16" t="inlineStr">
        <is>
          <t>candidate 10</t>
        </is>
      </c>
      <c r="B22" s="16" t="n"/>
      <c r="C22" s="16" t="inlineStr">
        <is>
          <t>candidate</t>
        </is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7">
        <f>IF(AND(N(K22)&gt;0,N(D22)&gt;0),K22/D22,"")</f>
        <v/>
      </c>
      <c r="M22" s="16" t="n"/>
      <c r="N22" s="16" t="n"/>
      <c r="O22" s="16" t="n"/>
      <c r="P22" s="16" t="n"/>
      <c r="Q22" s="16" t="n"/>
    </row>
    <row r="24">
      <c r="A24" s="18" t="inlineStr">
        <is>
          <t>Активных каналов с Ratio ≥ 1:</t>
        </is>
      </c>
      <c r="D24" s="18">
        <f>COUNTIFS(L2:L22,"&gt;=1",P2:P22,"да")</f>
        <v/>
      </c>
    </row>
    <row r="25">
      <c r="A25" s="19" t="inlineStr">
        <is>
          <t>✅ Критерий выполнен: Invisible Game (3 дня), Old Money Dynasty (4 дня), Selwen (1 день). Old Money Lost не засчитан — последняя публикация ~2 месяца назад.</t>
        </is>
      </c>
    </row>
  </sheetData>
  <conditionalFormatting sqref="L2:L22">
    <cfRule type="cellIs" priority="1" operator="greaterThanOrEqual" dxfId="0">
      <formula>1</formula>
    </cfRule>
    <cfRule type="cellIs" priority="2" operator="between" dxfId="1">
      <formula>0.001</formula>
      <formula>0.999</formula>
    </cfRule>
  </conditionalFormatting>
  <dataValidations count="3">
    <dataValidation sqref="C2:C22" showDropDown="0" showInputMessage="0" showErrorMessage="0" allowBlank="1" type="list">
      <formula1>"proven,dormant,anchor,candidate"</formula1>
    </dataValidation>
    <dataValidation sqref="P2:P22" showDropDown="0" showInputMessage="0" showErrorMessage="0" allowBlank="1" type="list">
      <formula1>"да,нет"</formula1>
    </dataValidation>
    <dataValidation sqref="N2:N22" showDropDown="0" showInputMessage="0" showErrorMessage="0" allowBlank="1" type="list">
      <formula1>"archive+photo,archive+video,graphics/charts,mixed,animation"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24" customWidth="1" min="4" max="4"/>
    <col width="12" customWidth="1" min="5" max="5"/>
    <col width="13" customWidth="1" min="6" max="6"/>
    <col width="11" customWidth="1" min="7" max="7"/>
    <col width="30" customWidth="1" min="8" max="8"/>
    <col width="30" customWidth="1" min="9" max="9"/>
    <col width="26" customWidth="1" min="10" max="10"/>
    <col width="26" customWidth="1" min="11" max="11"/>
    <col width="26" customWidth="1" min="12" max="12"/>
    <col width="26" customWidth="1" min="13" max="13"/>
    <col width="32" customWidth="1" min="14" max="14"/>
  </cols>
  <sheetData>
    <row r="1" ht="34" customHeight="1">
      <c r="A1" s="5" t="inlineStr">
        <is>
          <t>№</t>
        </is>
      </c>
      <c r="B1" s="5" t="inlineStr">
        <is>
          <t>Channel</t>
        </is>
      </c>
      <c r="C1" s="5" t="inlineStr">
        <is>
          <t>Video</t>
        </is>
      </c>
      <c r="D1" s="5" t="inlineStr">
        <is>
          <t>Link</t>
        </is>
      </c>
      <c r="E1" s="5" t="inlineStr">
        <is>
          <t>Views</t>
        </is>
      </c>
      <c r="F1" s="5" t="inlineStr">
        <is>
          <t>Channel average</t>
        </is>
      </c>
      <c r="G1" s="5" t="inlineStr">
        <is>
          <t>Multiple</t>
        </is>
      </c>
      <c r="H1" s="5" t="inlineStr">
        <is>
          <t>Idea</t>
        </is>
      </c>
      <c r="I1" s="5" t="inlineStr">
        <is>
          <t>Conflict</t>
        </is>
      </c>
      <c r="J1" s="5" t="inlineStr">
        <is>
          <t>Why they click</t>
        </is>
      </c>
      <c r="K1" s="5" t="inlineStr">
        <is>
          <t>Title promise</t>
        </is>
      </c>
      <c r="L1" s="5" t="inlineStr">
        <is>
          <t>Thumbnail promise</t>
        </is>
      </c>
      <c r="M1" s="5" t="inlineStr">
        <is>
          <t>How it ends</t>
        </is>
      </c>
      <c r="N1" s="5" t="inlineStr">
        <is>
          <t>Our angle</t>
        </is>
      </c>
    </row>
    <row r="2">
      <c r="A2" s="16" t="n">
        <v>1</v>
      </c>
      <c r="B2" s="16" t="n"/>
      <c r="C2" s="16" t="n"/>
      <c r="D2" s="16" t="n"/>
      <c r="E2" s="16" t="n"/>
      <c r="F2" s="16" t="n"/>
      <c r="G2" s="20">
        <f>IF(AND(N(E2)&gt;0,N(F2)&gt;0),E2/F2,"")</f>
        <v/>
      </c>
      <c r="H2" s="16" t="n"/>
      <c r="I2" s="16" t="n"/>
      <c r="J2" s="16" t="n"/>
      <c r="K2" s="16" t="n"/>
      <c r="L2" s="16" t="n"/>
      <c r="M2" s="16" t="n"/>
      <c r="N2" s="16" t="n"/>
    </row>
    <row r="3">
      <c r="A3" s="16" t="n">
        <v>2</v>
      </c>
      <c r="B3" s="16" t="n"/>
      <c r="C3" s="16" t="n"/>
      <c r="D3" s="16" t="n"/>
      <c r="E3" s="16" t="n"/>
      <c r="F3" s="16" t="n"/>
      <c r="G3" s="20">
        <f>IF(AND(N(E3)&gt;0,N(F3)&gt;0),E3/F3,"")</f>
        <v/>
      </c>
      <c r="H3" s="16" t="n"/>
      <c r="I3" s="16" t="n"/>
      <c r="J3" s="16" t="n"/>
      <c r="K3" s="16" t="n"/>
      <c r="L3" s="16" t="n"/>
      <c r="M3" s="16" t="n"/>
      <c r="N3" s="16" t="n"/>
    </row>
    <row r="4">
      <c r="A4" s="16" t="n">
        <v>3</v>
      </c>
      <c r="B4" s="16" t="n"/>
      <c r="C4" s="16" t="n"/>
      <c r="D4" s="16" t="n"/>
      <c r="E4" s="16" t="n"/>
      <c r="F4" s="16" t="n"/>
      <c r="G4" s="20">
        <f>IF(AND(N(E4)&gt;0,N(F4)&gt;0),E4/F4,"")</f>
        <v/>
      </c>
      <c r="H4" s="16" t="n"/>
      <c r="I4" s="16" t="n"/>
      <c r="J4" s="16" t="n"/>
      <c r="K4" s="16" t="n"/>
      <c r="L4" s="16" t="n"/>
      <c r="M4" s="16" t="n"/>
      <c r="N4" s="16" t="n"/>
    </row>
    <row r="5">
      <c r="A5" s="16" t="n">
        <v>4</v>
      </c>
      <c r="B5" s="16" t="n"/>
      <c r="C5" s="16" t="n"/>
      <c r="D5" s="16" t="n"/>
      <c r="E5" s="16" t="n"/>
      <c r="F5" s="16" t="n"/>
      <c r="G5" s="20">
        <f>IF(AND(N(E5)&gt;0,N(F5)&gt;0),E5/F5,"")</f>
        <v/>
      </c>
      <c r="H5" s="16" t="n"/>
      <c r="I5" s="16" t="n"/>
      <c r="J5" s="16" t="n"/>
      <c r="K5" s="16" t="n"/>
      <c r="L5" s="16" t="n"/>
      <c r="M5" s="16" t="n"/>
      <c r="N5" s="16" t="n"/>
    </row>
    <row r="6">
      <c r="A6" s="16" t="n">
        <v>5</v>
      </c>
      <c r="B6" s="16" t="n"/>
      <c r="C6" s="16" t="n"/>
      <c r="D6" s="16" t="n"/>
      <c r="E6" s="16" t="n"/>
      <c r="F6" s="16" t="n"/>
      <c r="G6" s="20">
        <f>IF(AND(N(E6)&gt;0,N(F6)&gt;0),E6/F6,"")</f>
        <v/>
      </c>
      <c r="H6" s="16" t="n"/>
      <c r="I6" s="16" t="n"/>
      <c r="J6" s="16" t="n"/>
      <c r="K6" s="16" t="n"/>
      <c r="L6" s="16" t="n"/>
      <c r="M6" s="16" t="n"/>
      <c r="N6" s="16" t="n"/>
    </row>
    <row r="7">
      <c r="A7" s="16" t="n">
        <v>6</v>
      </c>
      <c r="B7" s="16" t="n"/>
      <c r="C7" s="16" t="n"/>
      <c r="D7" s="16" t="n"/>
      <c r="E7" s="16" t="n"/>
      <c r="F7" s="16" t="n"/>
      <c r="G7" s="20">
        <f>IF(AND(N(E7)&gt;0,N(F7)&gt;0),E7/F7,"")</f>
        <v/>
      </c>
      <c r="H7" s="16" t="n"/>
      <c r="I7" s="16" t="n"/>
      <c r="J7" s="16" t="n"/>
      <c r="K7" s="16" t="n"/>
      <c r="L7" s="16" t="n"/>
      <c r="M7" s="16" t="n"/>
      <c r="N7" s="16" t="n"/>
    </row>
    <row r="8">
      <c r="A8" s="16" t="n">
        <v>7</v>
      </c>
      <c r="B8" s="16" t="n"/>
      <c r="C8" s="16" t="n"/>
      <c r="D8" s="16" t="n"/>
      <c r="E8" s="16" t="n"/>
      <c r="F8" s="16" t="n"/>
      <c r="G8" s="20">
        <f>IF(AND(N(E8)&gt;0,N(F8)&gt;0),E8/F8,"")</f>
        <v/>
      </c>
      <c r="H8" s="16" t="n"/>
      <c r="I8" s="16" t="n"/>
      <c r="J8" s="16" t="n"/>
      <c r="K8" s="16" t="n"/>
      <c r="L8" s="16" t="n"/>
      <c r="M8" s="16" t="n"/>
      <c r="N8" s="16" t="n"/>
    </row>
    <row r="9">
      <c r="A9" s="16" t="n">
        <v>8</v>
      </c>
      <c r="B9" s="16" t="n"/>
      <c r="C9" s="16" t="n"/>
      <c r="D9" s="16" t="n"/>
      <c r="E9" s="16" t="n"/>
      <c r="F9" s="16" t="n"/>
      <c r="G9" s="20">
        <f>IF(AND(N(E9)&gt;0,N(F9)&gt;0),E9/F9,"")</f>
        <v/>
      </c>
      <c r="H9" s="16" t="n"/>
      <c r="I9" s="16" t="n"/>
      <c r="J9" s="16" t="n"/>
      <c r="K9" s="16" t="n"/>
      <c r="L9" s="16" t="n"/>
      <c r="M9" s="16" t="n"/>
      <c r="N9" s="16" t="n"/>
    </row>
    <row r="10">
      <c r="A10" s="16" t="n">
        <v>9</v>
      </c>
      <c r="B10" s="16" t="n"/>
      <c r="C10" s="16" t="n"/>
      <c r="D10" s="16" t="n"/>
      <c r="E10" s="16" t="n"/>
      <c r="F10" s="16" t="n"/>
      <c r="G10" s="20">
        <f>IF(AND(N(E10)&gt;0,N(F10)&gt;0),E10/F10,"")</f>
        <v/>
      </c>
      <c r="H10" s="16" t="n"/>
      <c r="I10" s="16" t="n"/>
      <c r="J10" s="16" t="n"/>
      <c r="K10" s="16" t="n"/>
      <c r="L10" s="16" t="n"/>
      <c r="M10" s="16" t="n"/>
      <c r="N10" s="16" t="n"/>
    </row>
    <row r="11">
      <c r="A11" s="16" t="n">
        <v>10</v>
      </c>
      <c r="B11" s="16" t="n"/>
      <c r="C11" s="16" t="n"/>
      <c r="D11" s="16" t="n"/>
      <c r="E11" s="16" t="n"/>
      <c r="F11" s="16" t="n"/>
      <c r="G11" s="20">
        <f>IF(AND(N(E11)&gt;0,N(F11)&gt;0),E11/F11,"")</f>
        <v/>
      </c>
      <c r="H11" s="16" t="n"/>
      <c r="I11" s="16" t="n"/>
      <c r="J11" s="16" t="n"/>
      <c r="K11" s="16" t="n"/>
      <c r="L11" s="16" t="n"/>
      <c r="M11" s="16" t="n"/>
      <c r="N11" s="16" t="n"/>
    </row>
    <row r="12">
      <c r="A12" s="16" t="n">
        <v>11</v>
      </c>
      <c r="B12" s="16" t="n"/>
      <c r="C12" s="16" t="n"/>
      <c r="D12" s="16" t="n"/>
      <c r="E12" s="16" t="n"/>
      <c r="F12" s="16" t="n"/>
      <c r="G12" s="20">
        <f>IF(AND(N(E12)&gt;0,N(F12)&gt;0),E12/F12,"")</f>
        <v/>
      </c>
      <c r="H12" s="16" t="n"/>
      <c r="I12" s="16" t="n"/>
      <c r="J12" s="16" t="n"/>
      <c r="K12" s="16" t="n"/>
      <c r="L12" s="16" t="n"/>
      <c r="M12" s="16" t="n"/>
      <c r="N12" s="16" t="n"/>
    </row>
    <row r="13">
      <c r="A13" s="16" t="n">
        <v>12</v>
      </c>
      <c r="B13" s="16" t="n"/>
      <c r="C13" s="16" t="n"/>
      <c r="D13" s="16" t="n"/>
      <c r="E13" s="16" t="n"/>
      <c r="F13" s="16" t="n"/>
      <c r="G13" s="20">
        <f>IF(AND(N(E13)&gt;0,N(F13)&gt;0),E13/F13,"")</f>
        <v/>
      </c>
      <c r="H13" s="16" t="n"/>
      <c r="I13" s="16" t="n"/>
      <c r="J13" s="16" t="n"/>
      <c r="K13" s="16" t="n"/>
      <c r="L13" s="16" t="n"/>
      <c r="M13" s="16" t="n"/>
      <c r="N13" s="16" t="n"/>
    </row>
    <row r="14">
      <c r="A14" s="16" t="n">
        <v>13</v>
      </c>
      <c r="B14" s="16" t="n"/>
      <c r="C14" s="16" t="n"/>
      <c r="D14" s="16" t="n"/>
      <c r="E14" s="16" t="n"/>
      <c r="F14" s="16" t="n"/>
      <c r="G14" s="20">
        <f>IF(AND(N(E14)&gt;0,N(F14)&gt;0),E14/F14,"")</f>
        <v/>
      </c>
      <c r="H14" s="16" t="n"/>
      <c r="I14" s="16" t="n"/>
      <c r="J14" s="16" t="n"/>
      <c r="K14" s="16" t="n"/>
      <c r="L14" s="16" t="n"/>
      <c r="M14" s="16" t="n"/>
      <c r="N14" s="16" t="n"/>
    </row>
    <row r="15">
      <c r="A15" s="16" t="n">
        <v>14</v>
      </c>
      <c r="B15" s="16" t="n"/>
      <c r="C15" s="16" t="n"/>
      <c r="D15" s="16" t="n"/>
      <c r="E15" s="16" t="n"/>
      <c r="F15" s="16" t="n"/>
      <c r="G15" s="20">
        <f>IF(AND(N(E15)&gt;0,N(F15)&gt;0),E15/F15,"")</f>
        <v/>
      </c>
      <c r="H15" s="16" t="n"/>
      <c r="I15" s="16" t="n"/>
      <c r="J15" s="16" t="n"/>
      <c r="K15" s="16" t="n"/>
      <c r="L15" s="16" t="n"/>
      <c r="M15" s="16" t="n"/>
      <c r="N15" s="16" t="n"/>
    </row>
    <row r="16">
      <c r="A16" s="16" t="n">
        <v>15</v>
      </c>
      <c r="B16" s="16" t="n"/>
      <c r="C16" s="16" t="n"/>
      <c r="D16" s="16" t="n"/>
      <c r="E16" s="16" t="n"/>
      <c r="F16" s="16" t="n"/>
      <c r="G16" s="20">
        <f>IF(AND(N(E16)&gt;0,N(F16)&gt;0),E16/F16,"")</f>
        <v/>
      </c>
      <c r="H16" s="16" t="n"/>
      <c r="I16" s="16" t="n"/>
      <c r="J16" s="16" t="n"/>
      <c r="K16" s="16" t="n"/>
      <c r="L16" s="16" t="n"/>
      <c r="M16" s="16" t="n"/>
      <c r="N16" s="16" t="n"/>
    </row>
    <row r="17">
      <c r="A17" s="16" t="n">
        <v>16</v>
      </c>
      <c r="B17" s="16" t="n"/>
      <c r="C17" s="16" t="n"/>
      <c r="D17" s="16" t="n"/>
      <c r="E17" s="16" t="n"/>
      <c r="F17" s="16" t="n"/>
      <c r="G17" s="20">
        <f>IF(AND(N(E17)&gt;0,N(F17)&gt;0),E17/F17,"")</f>
        <v/>
      </c>
      <c r="H17" s="16" t="n"/>
      <c r="I17" s="16" t="n"/>
      <c r="J17" s="16" t="n"/>
      <c r="K17" s="16" t="n"/>
      <c r="L17" s="16" t="n"/>
      <c r="M17" s="16" t="n"/>
      <c r="N17" s="16" t="n"/>
    </row>
    <row r="18">
      <c r="A18" s="16" t="n">
        <v>17</v>
      </c>
      <c r="B18" s="16" t="n"/>
      <c r="C18" s="16" t="n"/>
      <c r="D18" s="16" t="n"/>
      <c r="E18" s="16" t="n"/>
      <c r="F18" s="16" t="n"/>
      <c r="G18" s="20">
        <f>IF(AND(N(E18)&gt;0,N(F18)&gt;0),E18/F18,"")</f>
        <v/>
      </c>
      <c r="H18" s="16" t="n"/>
      <c r="I18" s="16" t="n"/>
      <c r="J18" s="16" t="n"/>
      <c r="K18" s="16" t="n"/>
      <c r="L18" s="16" t="n"/>
      <c r="M18" s="16" t="n"/>
      <c r="N18" s="16" t="n"/>
    </row>
    <row r="19">
      <c r="A19" s="16" t="n">
        <v>18</v>
      </c>
      <c r="B19" s="16" t="n"/>
      <c r="C19" s="16" t="n"/>
      <c r="D19" s="16" t="n"/>
      <c r="E19" s="16" t="n"/>
      <c r="F19" s="16" t="n"/>
      <c r="G19" s="20">
        <f>IF(AND(N(E19)&gt;0,N(F19)&gt;0),E19/F19,"")</f>
        <v/>
      </c>
      <c r="H19" s="16" t="n"/>
      <c r="I19" s="16" t="n"/>
      <c r="J19" s="16" t="n"/>
      <c r="K19" s="16" t="n"/>
      <c r="L19" s="16" t="n"/>
      <c r="M19" s="16" t="n"/>
      <c r="N19" s="16" t="n"/>
    </row>
    <row r="20">
      <c r="A20" s="16" t="n">
        <v>19</v>
      </c>
      <c r="B20" s="16" t="n"/>
      <c r="C20" s="16" t="n"/>
      <c r="D20" s="16" t="n"/>
      <c r="E20" s="16" t="n"/>
      <c r="F20" s="16" t="n"/>
      <c r="G20" s="20">
        <f>IF(AND(N(E20)&gt;0,N(F20)&gt;0),E20/F20,"")</f>
        <v/>
      </c>
      <c r="H20" s="16" t="n"/>
      <c r="I20" s="16" t="n"/>
      <c r="J20" s="16" t="n"/>
      <c r="K20" s="16" t="n"/>
      <c r="L20" s="16" t="n"/>
      <c r="M20" s="16" t="n"/>
      <c r="N20" s="16" t="n"/>
    </row>
    <row r="21">
      <c r="A21" s="16" t="n">
        <v>20</v>
      </c>
      <c r="B21" s="16" t="n"/>
      <c r="C21" s="16" t="n"/>
      <c r="D21" s="16" t="n"/>
      <c r="E21" s="16" t="n"/>
      <c r="F21" s="16" t="n"/>
      <c r="G21" s="20">
        <f>IF(AND(N(E21)&gt;0,N(F21)&gt;0),E21/F21,"")</f>
        <v/>
      </c>
      <c r="H21" s="16" t="n"/>
      <c r="I21" s="16" t="n"/>
      <c r="J21" s="16" t="n"/>
      <c r="K21" s="16" t="n"/>
      <c r="L21" s="16" t="n"/>
      <c r="M21" s="16" t="n"/>
      <c r="N21" s="16" t="n"/>
    </row>
    <row r="22">
      <c r="A22" s="16" t="n">
        <v>21</v>
      </c>
      <c r="B22" s="16" t="n"/>
      <c r="C22" s="16" t="n"/>
      <c r="D22" s="16" t="n"/>
      <c r="E22" s="16" t="n"/>
      <c r="F22" s="16" t="n"/>
      <c r="G22" s="20">
        <f>IF(AND(N(E22)&gt;0,N(F22)&gt;0),E22/F22,"")</f>
        <v/>
      </c>
      <c r="H22" s="16" t="n"/>
      <c r="I22" s="16" t="n"/>
      <c r="J22" s="16" t="n"/>
      <c r="K22" s="16" t="n"/>
      <c r="L22" s="16" t="n"/>
      <c r="M22" s="16" t="n"/>
      <c r="N22" s="16" t="n"/>
    </row>
    <row r="23">
      <c r="A23" s="16" t="n">
        <v>22</v>
      </c>
      <c r="B23" s="16" t="n"/>
      <c r="C23" s="16" t="n"/>
      <c r="D23" s="16" t="n"/>
      <c r="E23" s="16" t="n"/>
      <c r="F23" s="16" t="n"/>
      <c r="G23" s="20">
        <f>IF(AND(N(E23)&gt;0,N(F23)&gt;0),E23/F23,"")</f>
        <v/>
      </c>
      <c r="H23" s="16" t="n"/>
      <c r="I23" s="16" t="n"/>
      <c r="J23" s="16" t="n"/>
      <c r="K23" s="16" t="n"/>
      <c r="L23" s="16" t="n"/>
      <c r="M23" s="16" t="n"/>
      <c r="N23" s="16" t="n"/>
    </row>
    <row r="24">
      <c r="A24" s="16" t="n">
        <v>23</v>
      </c>
      <c r="B24" s="16" t="n"/>
      <c r="C24" s="16" t="n"/>
      <c r="D24" s="16" t="n"/>
      <c r="E24" s="16" t="n"/>
      <c r="F24" s="16" t="n"/>
      <c r="G24" s="20">
        <f>IF(AND(N(E24)&gt;0,N(F24)&gt;0),E24/F24,"")</f>
        <v/>
      </c>
      <c r="H24" s="16" t="n"/>
      <c r="I24" s="16" t="n"/>
      <c r="J24" s="16" t="n"/>
      <c r="K24" s="16" t="n"/>
      <c r="L24" s="16" t="n"/>
      <c r="M24" s="16" t="n"/>
      <c r="N24" s="16" t="n"/>
    </row>
    <row r="25">
      <c r="A25" s="16" t="n">
        <v>24</v>
      </c>
      <c r="B25" s="16" t="n"/>
      <c r="C25" s="16" t="n"/>
      <c r="D25" s="16" t="n"/>
      <c r="E25" s="16" t="n"/>
      <c r="F25" s="16" t="n"/>
      <c r="G25" s="20">
        <f>IF(AND(N(E25)&gt;0,N(F25)&gt;0),E25/F25,"")</f>
        <v/>
      </c>
      <c r="H25" s="16" t="n"/>
      <c r="I25" s="16" t="n"/>
      <c r="J25" s="16" t="n"/>
      <c r="K25" s="16" t="n"/>
      <c r="L25" s="16" t="n"/>
      <c r="M25" s="16" t="n"/>
      <c r="N25" s="16" t="n"/>
    </row>
    <row r="26">
      <c r="A26" s="16" t="n">
        <v>25</v>
      </c>
      <c r="B26" s="16" t="n"/>
      <c r="C26" s="16" t="n"/>
      <c r="D26" s="16" t="n"/>
      <c r="E26" s="16" t="n"/>
      <c r="F26" s="16" t="n"/>
      <c r="G26" s="20">
        <f>IF(AND(N(E26)&gt;0,N(F26)&gt;0),E26/F26,"")</f>
        <v/>
      </c>
      <c r="H26" s="16" t="n"/>
      <c r="I26" s="16" t="n"/>
      <c r="J26" s="16" t="n"/>
      <c r="K26" s="16" t="n"/>
      <c r="L26" s="16" t="n"/>
      <c r="M26" s="16" t="n"/>
      <c r="N26" s="16" t="n"/>
    </row>
    <row r="27">
      <c r="A27" s="16" t="n">
        <v>26</v>
      </c>
      <c r="B27" s="16" t="n"/>
      <c r="C27" s="16" t="n"/>
      <c r="D27" s="16" t="n"/>
      <c r="E27" s="16" t="n"/>
      <c r="F27" s="16" t="n"/>
      <c r="G27" s="20">
        <f>IF(AND(N(E27)&gt;0,N(F27)&gt;0),E27/F27,"")</f>
        <v/>
      </c>
      <c r="H27" s="16" t="n"/>
      <c r="I27" s="16" t="n"/>
      <c r="J27" s="16" t="n"/>
      <c r="K27" s="16" t="n"/>
      <c r="L27" s="16" t="n"/>
      <c r="M27" s="16" t="n"/>
      <c r="N27" s="16" t="n"/>
    </row>
    <row r="28">
      <c r="A28" s="16" t="n">
        <v>27</v>
      </c>
      <c r="B28" s="16" t="n"/>
      <c r="C28" s="16" t="n"/>
      <c r="D28" s="16" t="n"/>
      <c r="E28" s="16" t="n"/>
      <c r="F28" s="16" t="n"/>
      <c r="G28" s="20">
        <f>IF(AND(N(E28)&gt;0,N(F28)&gt;0),E28/F28,"")</f>
        <v/>
      </c>
      <c r="H28" s="16" t="n"/>
      <c r="I28" s="16" t="n"/>
      <c r="J28" s="16" t="n"/>
      <c r="K28" s="16" t="n"/>
      <c r="L28" s="16" t="n"/>
      <c r="M28" s="16" t="n"/>
      <c r="N28" s="16" t="n"/>
    </row>
    <row r="29">
      <c r="A29" s="16" t="n">
        <v>28</v>
      </c>
      <c r="B29" s="16" t="n"/>
      <c r="C29" s="16" t="n"/>
      <c r="D29" s="16" t="n"/>
      <c r="E29" s="16" t="n"/>
      <c r="F29" s="16" t="n"/>
      <c r="G29" s="20">
        <f>IF(AND(N(E29)&gt;0,N(F29)&gt;0),E29/F29,"")</f>
        <v/>
      </c>
      <c r="H29" s="16" t="n"/>
      <c r="I29" s="16" t="n"/>
      <c r="J29" s="16" t="n"/>
      <c r="K29" s="16" t="n"/>
      <c r="L29" s="16" t="n"/>
      <c r="M29" s="16" t="n"/>
      <c r="N29" s="16" t="n"/>
    </row>
    <row r="30">
      <c r="A30" s="16" t="n">
        <v>29</v>
      </c>
      <c r="B30" s="16" t="n"/>
      <c r="C30" s="16" t="n"/>
      <c r="D30" s="16" t="n"/>
      <c r="E30" s="16" t="n"/>
      <c r="F30" s="16" t="n"/>
      <c r="G30" s="20">
        <f>IF(AND(N(E30)&gt;0,N(F30)&gt;0),E30/F30,"")</f>
        <v/>
      </c>
      <c r="H30" s="16" t="n"/>
      <c r="I30" s="16" t="n"/>
      <c r="J30" s="16" t="n"/>
      <c r="K30" s="16" t="n"/>
      <c r="L30" s="16" t="n"/>
      <c r="M30" s="16" t="n"/>
      <c r="N30" s="16" t="n"/>
    </row>
    <row r="31">
      <c r="A31" s="16" t="n">
        <v>30</v>
      </c>
      <c r="B31" s="16" t="n"/>
      <c r="C31" s="16" t="n"/>
      <c r="D31" s="16" t="n"/>
      <c r="E31" s="16" t="n"/>
      <c r="F31" s="16" t="n"/>
      <c r="G31" s="20">
        <f>IF(AND(N(E31)&gt;0,N(F31)&gt;0),E31/F31,"")</f>
        <v/>
      </c>
      <c r="H31" s="16" t="n"/>
      <c r="I31" s="16" t="n"/>
      <c r="J31" s="16" t="n"/>
      <c r="K31" s="16" t="n"/>
      <c r="L31" s="16" t="n"/>
      <c r="M31" s="16" t="n"/>
      <c r="N31" s="16" t="n"/>
    </row>
    <row r="33">
      <c r="B33" s="19" t="inlineStr">
        <is>
          <t>Аутлаер — ролик, набравший в разы больше обычного для своего канала. Концепт берём доказанный, угол делаем свой. Копировать ролик нельзя.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11" customWidth="1" min="4" max="4"/>
    <col width="42" customWidth="1" min="5" max="5"/>
    <col width="12" customWidth="1" min="6" max="6"/>
    <col width="13" customWidth="1" min="7" max="7"/>
    <col width="12" customWidth="1" min="8" max="8"/>
    <col width="13" customWidth="1" min="9" max="9"/>
    <col width="32" customWidth="1" min="10" max="10"/>
    <col width="34" customWidth="1" min="11" max="11"/>
    <col width="10" customWidth="1" min="12" max="12"/>
  </cols>
  <sheetData>
    <row r="1" ht="34" customHeight="1">
      <c r="A1" s="5" t="inlineStr">
        <is>
          <t>№</t>
        </is>
      </c>
      <c r="B1" s="5" t="inlineStr">
        <is>
          <t>Company</t>
        </is>
      </c>
      <c r="C1" s="5" t="inlineStr">
        <is>
          <t>The decision</t>
        </is>
      </c>
      <c r="D1" s="5" t="inlineStr">
        <is>
          <t>Talmud test</t>
        </is>
      </c>
      <c r="E1" s="5" t="inlineStr">
        <is>
          <t>Search queries</t>
        </is>
      </c>
      <c r="F1" s="5" t="inlineStr">
        <is>
          <t>Videos in results</t>
        </is>
      </c>
      <c r="G1" s="5" t="inlineStr">
        <is>
          <t>Best video views</t>
        </is>
      </c>
      <c r="H1" s="5" t="inlineStr">
        <is>
          <t>Best video date</t>
        </is>
      </c>
      <c r="I1" s="5" t="inlineStr">
        <is>
          <t>Signal</t>
        </is>
      </c>
      <c r="J1" s="5" t="inlineStr">
        <is>
          <t>Our angle</t>
        </is>
      </c>
      <c r="K1" s="5" t="inlineStr">
        <is>
          <t>Title candidate</t>
        </is>
      </c>
      <c r="L1" s="5" t="inlineStr">
        <is>
          <t>Priority</t>
        </is>
      </c>
    </row>
    <row r="2">
      <c r="A2" s="21" t="n">
        <v>1</v>
      </c>
      <c r="B2" s="22" t="inlineStr">
        <is>
          <t>J.C. Penney</t>
        </is>
      </c>
      <c r="C2" s="21" t="inlineStr">
        <is>
          <t>Рон Джонсон отменил купоны и скидки — минус 4 млрд выручки за год</t>
        </is>
      </c>
      <c r="D2" s="21" t="inlineStr">
        <is>
          <t>да</t>
        </is>
      </c>
      <c r="E2" s="23" t="inlineStr">
        <is>
          <t>JC Penney Ron Johnson · why JC Penney failed · JC Penney collapse</t>
        </is>
      </c>
      <c r="F2" s="21" t="n"/>
      <c r="G2" s="21" t="n"/>
      <c r="H2" s="21" t="n"/>
      <c r="I2" s="21" t="inlineStr"/>
      <c r="J2" s="24" t="inlineStr">
        <is>
          <t>Проверено: 151K на канале ~94K</t>
        </is>
      </c>
      <c r="K2" s="21" t="n"/>
      <c r="L2" s="21" t="n">
        <v>1</v>
      </c>
    </row>
    <row r="3">
      <c r="A3" s="16" t="n">
        <v>2</v>
      </c>
      <c r="B3" s="25" t="inlineStr">
        <is>
          <t>Montgomery Ward</t>
        </is>
      </c>
      <c r="C3" s="16" t="inlineStr">
        <is>
          <t>Отказ идти за покупателем в пригороды после войны — рынок забрал Sears</t>
        </is>
      </c>
      <c r="D3" s="16" t="inlineStr"/>
      <c r="E3" s="26" t="inlineStr">
        <is>
          <t>Montgomery Ward collapse · Sewell Avery · why Montgomery Ward failed</t>
        </is>
      </c>
      <c r="F3" s="16" t="n"/>
      <c r="G3" s="16" t="n"/>
      <c r="H3" s="16" t="n"/>
      <c r="I3" s="16" t="inlineStr"/>
      <c r="J3" s="27" t="inlineStr">
        <is>
          <t>Проверено: 159K на канале ~94K</t>
        </is>
      </c>
      <c r="K3" s="16" t="n"/>
      <c r="L3" s="16" t="inlineStr"/>
    </row>
    <row r="4">
      <c r="A4" s="21" t="n">
        <v>3</v>
      </c>
      <c r="B4" s="22" t="inlineStr">
        <is>
          <t>A&amp;P</t>
        </is>
      </c>
      <c r="C4" s="21" t="inlineStr">
        <is>
          <t>Ценовая война WEO 1972: погнались за долей рынка и сожгли собственную маржу</t>
        </is>
      </c>
      <c r="D4" s="21" t="inlineStr">
        <is>
          <t>да</t>
        </is>
      </c>
      <c r="E4" s="23" t="inlineStr">
        <is>
          <t>A&amp;P grocery collapse · Great Atlantic and Pacific Tea Company · A&amp;P WEO price war</t>
        </is>
      </c>
      <c r="F4" s="21" t="n"/>
      <c r="G4" s="21" t="n"/>
      <c r="H4" s="21" t="n"/>
      <c r="I4" s="21" t="inlineStr"/>
      <c r="J4" s="24" t="inlineStr">
        <is>
          <t>Крупнейший ритейлер Америки до Walmart, сегодня забыт почти полностью</t>
        </is>
      </c>
      <c r="K4" s="21" t="n"/>
      <c r="L4" s="21" t="n">
        <v>3</v>
      </c>
    </row>
    <row r="5">
      <c r="A5" s="21" t="n">
        <v>4</v>
      </c>
      <c r="B5" s="22" t="inlineStr">
        <is>
          <t>Digg</t>
        </is>
      </c>
      <c r="C5" s="21" t="inlineStr">
        <is>
          <t>Один редизайн уничтожил соцсеть за неделю</t>
        </is>
      </c>
      <c r="D5" s="21" t="inlineStr">
        <is>
          <t>да</t>
        </is>
      </c>
      <c r="E5" s="23" t="inlineStr">
        <is>
          <t>Digg v4 · what happened to Digg · Digg Reddit collapse</t>
        </is>
      </c>
      <c r="F5" s="21" t="n"/>
      <c r="G5" s="21" t="n"/>
      <c r="H5" s="21" t="n"/>
      <c r="I5" s="21" t="inlineStr"/>
      <c r="J5" s="24" t="inlineStr">
        <is>
          <t>Эталон формулы: решение и последствия в одном кадре</t>
        </is>
      </c>
      <c r="K5" s="21" t="n"/>
      <c r="L5" s="21" t="n">
        <v>2</v>
      </c>
    </row>
    <row r="6">
      <c r="A6" s="16" t="n">
        <v>5</v>
      </c>
      <c r="B6" s="25" t="inlineStr">
        <is>
          <t>DEC</t>
        </is>
      </c>
      <c r="C6" s="16" t="inlineStr">
        <is>
          <t>«Нет причин держать компьютер дома» — компания №2 пропустила ПК</t>
        </is>
      </c>
      <c r="D6" s="16" t="inlineStr"/>
      <c r="E6" s="26" t="inlineStr">
        <is>
          <t>Digital Equipment Corporation collapse · Ken Olsen · why DEC failed</t>
        </is>
      </c>
      <c r="F6" s="16" t="n"/>
      <c r="G6" s="16" t="n"/>
      <c r="H6" s="16" t="n"/>
      <c r="I6" s="16" t="inlineStr"/>
      <c r="J6" s="27" t="inlineStr">
        <is>
          <t>Иконическая цитата в заголовок</t>
        </is>
      </c>
      <c r="K6" s="16" t="n"/>
      <c r="L6" s="16" t="inlineStr"/>
    </row>
    <row r="7">
      <c r="A7" s="16" t="n">
        <v>6</v>
      </c>
      <c r="B7" s="25" t="inlineStr">
        <is>
          <t>Bombardier</t>
        </is>
      </c>
      <c r="C7" s="16" t="inlineStr">
        <is>
          <t>Отдала главный самолёт Airbus за один доллар</t>
        </is>
      </c>
      <c r="D7" s="16" t="inlineStr"/>
      <c r="E7" s="26" t="inlineStr">
        <is>
          <t>Bombardier C Series Airbus · Bombardier sold C Series one dollar</t>
        </is>
      </c>
      <c r="F7" s="16" t="n"/>
      <c r="G7" s="16" t="n"/>
      <c r="H7" s="16" t="n"/>
      <c r="I7" s="16" t="inlineStr"/>
      <c r="J7" s="27" t="inlineStr">
        <is>
          <t>Сильный заголовок, чистая сделка</t>
        </is>
      </c>
      <c r="K7" s="16" t="n"/>
      <c r="L7" s="16" t="inlineStr"/>
    </row>
    <row r="8">
      <c r="A8" s="16" t="n">
        <v>7</v>
      </c>
      <c r="B8" s="25" t="inlineStr">
        <is>
          <t>RCA</t>
        </is>
      </c>
      <c r="C8" s="16" t="inlineStr">
        <is>
          <t>Лидер электроники, разобранный собственной диверсификацией</t>
        </is>
      </c>
      <c r="D8" s="16" t="inlineStr"/>
      <c r="E8" s="26" t="inlineStr">
        <is>
          <t>RCA collapse · what happened to RCA · RCA decline Sarnoff</t>
        </is>
      </c>
      <c r="F8" s="16" t="n"/>
      <c r="G8" s="16" t="n"/>
      <c r="H8" s="16" t="n"/>
      <c r="I8" s="16" t="inlineStr"/>
      <c r="J8" s="27" t="inlineStr">
        <is>
          <t>Масштаб при слабом покрытии</t>
        </is>
      </c>
      <c r="K8" s="16" t="n"/>
      <c r="L8" s="16" t="inlineStr"/>
    </row>
    <row r="9">
      <c r="A9" s="16" t="n">
        <v>8</v>
      </c>
      <c r="B9" s="25" t="inlineStr">
        <is>
          <t>Circuit City</t>
        </is>
      </c>
      <c r="C9" s="16" t="inlineStr">
        <is>
          <t>Уволили 3 400 самых опытных продавцов ради экономии на зарплатах</t>
        </is>
      </c>
      <c r="D9" s="16" t="inlineStr"/>
      <c r="E9" s="26" t="inlineStr">
        <is>
          <t>Circuit City collapse · Circuit City fired employees · why Circuit City failed</t>
        </is>
      </c>
      <c r="F9" s="16" t="n"/>
      <c r="G9" s="16" t="n"/>
      <c r="H9" s="16" t="n"/>
      <c r="I9" s="16" t="inlineStr"/>
      <c r="J9" s="27" t="inlineStr">
        <is>
          <t>Решение и последствия разделяют полтора года</t>
        </is>
      </c>
      <c r="K9" s="16" t="n"/>
      <c r="L9" s="16" t="inlineStr"/>
    </row>
    <row r="10">
      <c r="A10" s="16" t="n">
        <v>9</v>
      </c>
      <c r="B10" s="25" t="inlineStr">
        <is>
          <t>Quaker Oats</t>
        </is>
      </c>
      <c r="C10" s="16" t="inlineStr">
        <is>
          <t>Купили Snapple за 1,7 млрд и продали за 300 млн через три года</t>
        </is>
      </c>
      <c r="D10" s="16" t="inlineStr"/>
      <c r="E10" s="26" t="inlineStr">
        <is>
          <t>Quaker Oats Snapple · worst acquisition in history Snapple</t>
        </is>
      </c>
      <c r="F10" s="16" t="n"/>
      <c r="G10" s="16" t="n"/>
      <c r="H10" s="16" t="n"/>
      <c r="I10" s="16" t="inlineStr"/>
      <c r="J10" s="27" t="inlineStr">
        <is>
          <t>Измеримая цена одного решения</t>
        </is>
      </c>
      <c r="K10" s="16" t="n"/>
      <c r="L10" s="16" t="inlineStr"/>
    </row>
    <row r="11">
      <c r="A11" s="16" t="n">
        <v>10</v>
      </c>
      <c r="B11" s="25" t="inlineStr">
        <is>
          <t>Groupon</t>
        </is>
      </c>
      <c r="C11" s="16" t="inlineStr">
        <is>
          <t>Отказ от 6 млрд долларов от Google</t>
        </is>
      </c>
      <c r="D11" s="16" t="inlineStr"/>
      <c r="E11" s="26" t="inlineStr">
        <is>
          <t>Groupon Google offer · what happened to Groupon</t>
        </is>
      </c>
      <c r="F11" s="16" t="n"/>
      <c r="G11" s="16" t="n"/>
      <c r="H11" s="16" t="n"/>
      <c r="I11" s="16" t="inlineStr"/>
      <c r="J11" s="27" t="inlineStr">
        <is>
          <t>Одно решение, измеримая цена</t>
        </is>
      </c>
      <c r="K11" s="16" t="n"/>
      <c r="L11" s="16" t="inlineStr"/>
    </row>
    <row r="12">
      <c r="B12" s="18" t="inlineStr">
        <is>
          <t>Скамейка (выпуски 11–20)</t>
        </is>
      </c>
    </row>
    <row r="13">
      <c r="A13" s="16" t="n">
        <v>11</v>
      </c>
      <c r="B13" s="16" t="inlineStr">
        <is>
          <t>Xerox PARC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</row>
    <row r="14">
      <c r="A14" s="16" t="n">
        <v>12</v>
      </c>
      <c r="B14" s="16" t="inlineStr">
        <is>
          <t>Compaq</t>
        </is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6" t="n">
        <v>13</v>
      </c>
      <c r="B15" s="16" t="inlineStr">
        <is>
          <t>Toys R Us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6">
      <c r="A16" s="16" t="n">
        <v>14</v>
      </c>
      <c r="B16" s="16" t="inlineStr">
        <is>
          <t>Sears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6" t="n">
        <v>15</v>
      </c>
      <c r="B17" s="16" t="inlineStr">
        <is>
          <t>Polaroid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>
      <c r="A18" s="16" t="n">
        <v>16</v>
      </c>
      <c r="B18" s="16" t="inlineStr">
        <is>
          <t>Woolworth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6" t="n">
        <v>17</v>
      </c>
      <c r="B19" s="16" t="inlineStr">
        <is>
          <t>Wang Laboratories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>
      <c r="A20" s="16" t="n">
        <v>18</v>
      </c>
      <c r="B20" s="16" t="inlineStr">
        <is>
          <t>Long-Term Capital Management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6" t="n">
        <v>19</v>
      </c>
      <c r="B21" s="16" t="inlineStr">
        <is>
          <t>Pan Am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>
      <c r="A22" s="16" t="n">
        <v>20</v>
      </c>
      <c r="B22" s="16" t="inlineStr">
        <is>
          <t>Atari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4">
      <c r="B24" s="19" t="inlineStr">
        <is>
          <t>Стартовая тройка: J.C. Penney → Digg → A&amp;P. Подтверждённый спрос, затем закрепление формулы, затем проверка на забытом бренде.</t>
        </is>
      </c>
    </row>
    <row r="25">
      <c r="B25" s="19" t="inlineStr">
        <is>
          <t>Open — меньше пяти профильных роликов, ни одного выше ~200K; либо тема встречается только фрагментом внутри более широких видео. Целевая зона.</t>
        </is>
      </c>
    </row>
    <row r="26">
      <c r="B26" s="19" t="inlineStr">
        <is>
          <t>Occupied — есть профильный ролик выше ~500K либо три и больше выше ~200K. Спрос доказан, вход закрыт: Kodak, Nokia, Blockbuster, Enron, Schlitz.</t>
        </is>
      </c>
    </row>
    <row r="27">
      <c r="B27" s="19" t="inlineStr">
        <is>
          <t>Burned — пять и больше роликов за последние 12 месяцев, у лучшего меньше ~30K. Тему протестировали, она не конвертирует: Nortel. Хуже, чем Occupied.</t>
        </is>
      </c>
    </row>
    <row r="28">
      <c r="B28" s="19" t="inlineStr">
        <is>
          <t>Пороги рабочие — калибруются по первым трём темам, законом не являются.</t>
        </is>
      </c>
    </row>
    <row r="29">
      <c r="B29" s="19" t="inlineStr">
        <is>
          <t>Записывать: профильных роликов в первых двух экранах · просмотры и дата лучшего · просмотры трёх самых свежих.</t>
        </is>
      </c>
    </row>
    <row r="30">
      <c r="B30" s="19" t="inlineStr">
        <is>
          <t>Circuit City — вероятнее всего вернётся как Occupied. Quaker/Snapple может оказаться фрагментом в чужих подборках, а не самостоятельной темой — это Open. Наготове держать Wang Laboratories и Woolworth.</t>
        </is>
      </c>
    </row>
  </sheetData>
  <conditionalFormatting sqref="I2:I22">
    <cfRule type="cellIs" priority="1" operator="equal" dxfId="0">
      <formula>"Open"</formula>
    </cfRule>
    <cfRule type="cellIs" priority="2" operator="equal" dxfId="2">
      <formula>"Occupied"</formula>
    </cfRule>
    <cfRule type="cellIs" priority="3" operator="equal" dxfId="3">
      <formula>"Burned"</formula>
    </cfRule>
  </conditionalFormatting>
  <dataValidations count="2">
    <dataValidation sqref="I2:I22" showDropDown="0" showInputMessage="0" showErrorMessage="0" allowBlank="1" type="list">
      <formula1>"Open,Occupied,Burned"</formula1>
    </dataValidation>
    <dataValidation sqref="D2:D22" showDropDown="0" showInputMessage="0" showErrorMessage="0" allowBlank="1" type="list">
      <formula1>"да"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6" customWidth="1" min="3" max="3"/>
    <col width="14" customWidth="1" min="4" max="4"/>
    <col width="10" customWidth="1" min="5" max="5"/>
    <col width="14" customWidth="1" min="6" max="6"/>
    <col width="14" customWidth="1" min="7" max="7"/>
    <col width="13" customWidth="1" min="8" max="8"/>
    <col width="30" customWidth="1" min="9" max="9"/>
  </cols>
  <sheetData>
    <row r="1" ht="34" customHeight="1">
      <c r="A1" s="5" t="inlineStr">
        <is>
          <t>Выпуск</t>
        </is>
      </c>
      <c r="B1" s="5" t="inlineStr">
        <is>
          <t>Источник</t>
        </is>
      </c>
      <c r="C1" s="5" t="inlineStr">
        <is>
          <t>Связка</t>
        </is>
      </c>
      <c r="D1" s="5" t="inlineStr">
        <is>
          <t>Момент поворота (тайм-код)</t>
        </is>
      </c>
      <c r="E1" s="5" t="inlineStr">
        <is>
          <t>CTR, %</t>
        </is>
      </c>
      <c r="F1" s="5" t="inlineStr">
        <is>
          <t>Удержание в точке поворота, %</t>
        </is>
      </c>
      <c r="G1" s="5" t="inlineStr">
        <is>
          <t>Средняя длительность, %</t>
        </is>
      </c>
      <c r="H1" s="5" t="inlineStr">
        <is>
          <t>Досмотры до конца, %</t>
        </is>
      </c>
      <c r="I1" s="5" t="inlineStr">
        <is>
          <t>Вывод</t>
        </is>
      </c>
    </row>
    <row r="2">
      <c r="A2" s="22" t="inlineStr">
        <is>
          <t>J.C. Penney</t>
        </is>
      </c>
      <c r="B2" s="21" t="inlineStr">
        <is>
          <t>Shabbat 54b</t>
        </is>
      </c>
      <c r="C2" s="21" t="inlineStr">
        <is>
          <t>Обязанность возразить: совет знал, что решение ошибочно, и промолчал</t>
        </is>
      </c>
      <c r="D2" s="21" t="n"/>
      <c r="E2" s="21" t="n"/>
      <c r="F2" s="21" t="n"/>
      <c r="G2" s="21" t="n"/>
      <c r="H2" s="21" t="n"/>
      <c r="I2" s="21" t="n"/>
    </row>
    <row r="3">
      <c r="A3" s="22" t="inlineStr">
        <is>
          <t>A&amp;P</t>
        </is>
      </c>
      <c r="B3" s="21" t="inlineStr">
        <is>
          <t>Sotah 9b</t>
        </is>
      </c>
      <c r="C3" s="21" t="inlineStr">
        <is>
          <t>Кто тянется к чужому, теряет своё: погнались за утраченной долей и потеряли прибыль</t>
        </is>
      </c>
      <c r="D3" s="21" t="n"/>
      <c r="E3" s="21" t="n"/>
      <c r="F3" s="21" t="n"/>
      <c r="G3" s="21" t="n"/>
      <c r="H3" s="21" t="n"/>
      <c r="I3" s="21" t="n"/>
    </row>
    <row r="4">
      <c r="A4" s="22" t="inlineStr">
        <is>
          <t>Digg</t>
        </is>
      </c>
      <c r="B4" s="21" t="inlineStr">
        <is>
          <t>Bava Metzia 59b</t>
        </is>
      </c>
      <c r="C4" s="21" t="inlineStr">
        <is>
          <t>Печь Ахнаи: быть правым недостаточно, если сообщество с тобой не согласно</t>
        </is>
      </c>
      <c r="D4" s="21" t="n"/>
      <c r="E4" s="21" t="n"/>
      <c r="F4" s="21" t="n"/>
      <c r="G4" s="21" t="n"/>
      <c r="H4" s="21" t="n"/>
      <c r="I4" s="21" t="n"/>
    </row>
    <row r="5">
      <c r="A5" s="18" t="inlineStr">
        <is>
          <t>Контрольная группа (7 выпусков без слоя)</t>
        </is>
      </c>
    </row>
    <row r="6">
      <c r="A6" s="16" t="inlineStr">
        <is>
          <t>Montgomery Ward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</row>
    <row r="7">
      <c r="A7" s="16" t="inlineStr">
        <is>
          <t>DEC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</row>
    <row r="8">
      <c r="A8" s="16" t="inlineStr">
        <is>
          <t>Bombardier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 t="inlineStr">
        <is>
          <t>RCA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 t="inlineStr">
        <is>
          <t>Circuit City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inlineStr">
        <is>
          <t>Quaker Oats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 t="inlineStr">
        <is>
          <t>Groupon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4">
      <c r="A14" s="28" t="inlineStr">
        <is>
          <t>Дизайн проверки</t>
        </is>
      </c>
    </row>
    <row r="15">
      <c r="A15" s="19" t="inlineStr">
        <is>
          <t>Упаковка всех десяти выпусков делается по одному стандарту, Талмуд в заголовках и обложках не упоминается. Тогда CTR сравним по определению, и любая разница в удержании относится к содержанию, а не к обещанию.</t>
        </is>
      </c>
    </row>
    <row r="16">
      <c r="A16" s="28" t="inlineStr">
        <is>
          <t>Интерпретация</t>
        </is>
      </c>
    </row>
    <row r="17">
      <c r="A17" s="19" t="inlineStr">
        <is>
          <t>Удержание выше, CTR не просел → слой работает, расширяем до рубрики и выносим в упаковку.</t>
        </is>
      </c>
    </row>
    <row r="18">
      <c r="A18" s="19" t="inlineStr">
        <is>
          <t>Удержания нет, вреда нет → оставляем как редкий приём, каналом не делаем.</t>
        </is>
      </c>
    </row>
    <row r="19">
      <c r="A19" s="19" t="inlineStr">
        <is>
          <t>Удержание падает в точке поворота → слой убираем, ниша не страдает.</t>
        </is>
      </c>
    </row>
    <row r="20">
      <c r="A20" s="19" t="inlineStr">
        <is>
          <t>Цена проверки — три выпуска. Цена ошибки при закладывании слоя в позиционирование — канал.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2026-07-30T20:38:10Z</dcterms:created>
  <dcterms:modified xsi:type="dcterms:W3CDTF">2026-07-30T20:38:11Z</dcterms:modified>
</cp:coreProperties>
</file>